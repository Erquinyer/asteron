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videstebanalejo/Documents/DOCS Scrum/"/>
    </mc:Choice>
  </mc:AlternateContent>
  <xr:revisionPtr revIDLastSave="0" documentId="8_{6A5E446D-6821-C84B-B367-5D918DC2CED5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3" i="1"/>
  <c r="G42" i="1"/>
  <c r="G41" i="1"/>
  <c r="G40" i="1"/>
  <c r="G39" i="1"/>
  <c r="H38" i="1"/>
  <c r="G38" i="1"/>
  <c r="E36" i="1"/>
  <c r="D36" i="1"/>
  <c r="G33" i="1"/>
  <c r="G32" i="1"/>
  <c r="G31" i="1"/>
  <c r="G30" i="1"/>
  <c r="G29" i="1"/>
  <c r="G28" i="1"/>
  <c r="H27" i="1"/>
  <c r="G27" i="1"/>
  <c r="E25" i="1"/>
  <c r="D25" i="1"/>
  <c r="G22" i="1"/>
  <c r="G21" i="1"/>
  <c r="G20" i="1"/>
  <c r="G19" i="1"/>
  <c r="G18" i="1"/>
  <c r="G17" i="1"/>
  <c r="H16" i="1"/>
  <c r="G16" i="1"/>
  <c r="E14" i="1"/>
  <c r="D14" i="1"/>
  <c r="G11" i="1"/>
  <c r="G10" i="1"/>
  <c r="G9" i="1"/>
  <c r="G8" i="1"/>
  <c r="G7" i="1"/>
  <c r="G6" i="1"/>
  <c r="H5" i="1"/>
  <c r="G5" i="1"/>
  <c r="E3" i="1"/>
  <c r="D3" i="1"/>
</calcChain>
</file>

<file path=xl/sharedStrings.xml><?xml version="1.0" encoding="utf-8"?>
<sst xmlns="http://schemas.openxmlformats.org/spreadsheetml/2006/main" count="60" uniqueCount="40">
  <si>
    <t>SPRINT 1 — Módulo de Usuarios y Empleados</t>
  </si>
  <si>
    <t>Semanas destinadas</t>
  </si>
  <si>
    <t>HISTORIA DE USUARIO</t>
  </si>
  <si>
    <t>PUNTAJE</t>
  </si>
  <si>
    <t>INTEGRANTES</t>
  </si>
  <si>
    <t>DÍAS DEDICADOS A LA HISTORIA</t>
  </si>
  <si>
    <t>HORAS DEL DÍA</t>
  </si>
  <si>
    <t>CAPACIDAD TOTAL (HORAS)</t>
  </si>
  <si>
    <t>VELOCIDAD</t>
  </si>
  <si>
    <t>HU-01 Crear Usuario</t>
  </si>
  <si>
    <t>HU-02 Consultar Usuarios</t>
  </si>
  <si>
    <t>HU-03 Modificar Usuario</t>
  </si>
  <si>
    <t>HU-04 Inactivar Usuario</t>
  </si>
  <si>
    <t>HU-05 Crear Empleado</t>
  </si>
  <si>
    <t>HU-06 Consultar Empleados</t>
  </si>
  <si>
    <t>HU-07 Modificar Empleado</t>
  </si>
  <si>
    <t>SPRINT 2 — Módulo de Proyectos y Planos</t>
  </si>
  <si>
    <t>HU-08 Inactivar Empleado</t>
  </si>
  <si>
    <t>HU-09 Crear Proyecto</t>
  </si>
  <si>
    <t>HU-10 Consultar Proyectos</t>
  </si>
  <si>
    <t>HU-11 Actualizar Estado Proyecto</t>
  </si>
  <si>
    <t>HU-12 Cancelar Proyecto</t>
  </si>
  <si>
    <t>HU-13 Subir Plano</t>
  </si>
  <si>
    <t>HU-14 Consultar Planos</t>
  </si>
  <si>
    <t>SPRINT 3 — Módulo de Actividades y Registro Fotográfico</t>
  </si>
  <si>
    <t>HU-15 Versionar Plano</t>
  </si>
  <si>
    <t>HU-16 Inactivar Versión Plano</t>
  </si>
  <si>
    <t>HU-17 Registrar Actividad</t>
  </si>
  <si>
    <t>HU-18 Consultar Actividades</t>
  </si>
  <si>
    <t>HU-19 Actualizar Avance Actividad</t>
  </si>
  <si>
    <t>HU-20 Cancelar Actividad</t>
  </si>
  <si>
    <t>HU-21 Subir Fotografía</t>
  </si>
  <si>
    <t>SPRINT 4 — Control de Tiempos y Reportes</t>
  </si>
  <si>
    <t>HU-22 Consultar Fotografías</t>
  </si>
  <si>
    <t>HU-23 Editar Descripción Foto</t>
  </si>
  <si>
    <t>HU-24 Eliminar Fotografía</t>
  </si>
  <si>
    <t>HU-25 Registrar Tiempo</t>
  </si>
  <si>
    <t>HU-26 Consultar Tiempos</t>
  </si>
  <si>
    <t>HU-27 Corregir Registro Tiempo</t>
  </si>
  <si>
    <t>HU-28 Anular Registro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</si>
</sst>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2"/>
      <color rgb="FFFFFFFF"/>
      <name val="Calibri"/>
      <family val="2"/>
    </font>
    <font>
      <sz val="10"/>
      <color rgb="FF1A1A1A"/>
      <name val="Calibri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81"/>
  <sheetViews>
    <sheetView tabSelected="1" workbookViewId="0"/>
  </sheetViews>
  <sheetFormatPr baseColWidth="10" defaultColWidth="14.5" defaultRowHeight="15" customHeight="1" x14ac:dyDescent="0.2"/>
  <cols>
    <col min="1" max="1" width="10.6640625" customWidth="1"/>
    <col min="2" max="2" width="32" customWidth="1"/>
    <col min="3" max="3" width="10" customWidth="1"/>
    <col min="4" max="4" width="14" customWidth="1"/>
    <col min="5" max="5" width="22" customWidth="1"/>
    <col min="6" max="6" width="14" customWidth="1"/>
    <col min="7" max="7" width="22" customWidth="1"/>
    <col min="8" max="8" width="14" customWidth="1"/>
    <col min="9" max="26" width="10.6640625" customWidth="1"/>
  </cols>
  <sheetData>
    <row r="2" spans="2:8" ht="22" customHeight="1" x14ac:dyDescent="0.2">
      <c r="B2" s="1" t="s">
        <v>0</v>
      </c>
      <c r="C2" s="1"/>
      <c r="D2" s="1"/>
      <c r="E2" s="1"/>
      <c r="F2" s="1"/>
      <c r="G2" s="1"/>
      <c r="H2" s="1"/>
    </row>
    <row r="3" spans="2:8" ht="18" customHeight="1" x14ac:dyDescent="0.2">
      <c r="B3" s="2" t="s">
        <v>1</v>
      </c>
      <c r="C3" s="2">
        <v>2</v>
      </c>
      <c r="D3" s="2" t="str">
        <f>IF(C3&gt;4,"No viable","Viable")</f>
        <v>Viable</v>
      </c>
      <c r="E3" s="2" t="str">
        <f>CONCATENATE("Las semanas destinadas son: "&amp;C3)</f>
        <v>Las semanas destinadas son: 2</v>
      </c>
      <c r="F3" s="2"/>
      <c r="G3" s="2"/>
      <c r="H3" s="2"/>
    </row>
    <row r="4" spans="2:8" ht="30" customHeight="1" x14ac:dyDescent="0.2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2:8" ht="20" customHeight="1" x14ac:dyDescent="0.2">
      <c r="B5" s="4" t="s">
        <v>9</v>
      </c>
      <c r="C5" s="5">
        <v>3</v>
      </c>
      <c r="D5" s="5">
        <v>3</v>
      </c>
      <c r="E5" s="5">
        <v>2</v>
      </c>
      <c r="F5" s="5">
        <v>4</v>
      </c>
      <c r="G5" s="5">
        <f t="shared" ref="G5:G11" si="0">D5*E5*F5</f>
        <v>24</v>
      </c>
      <c r="H5" s="5">
        <f>SUM(C5:C11)</f>
        <v>23</v>
      </c>
    </row>
    <row r="6" spans="2:8" ht="20" customHeight="1" x14ac:dyDescent="0.2">
      <c r="B6" s="2" t="s">
        <v>10</v>
      </c>
      <c r="C6" s="6">
        <v>3</v>
      </c>
      <c r="D6" s="6">
        <v>3</v>
      </c>
      <c r="E6" s="6">
        <v>2</v>
      </c>
      <c r="F6" s="6">
        <v>4</v>
      </c>
      <c r="G6" s="6">
        <f t="shared" si="0"/>
        <v>24</v>
      </c>
      <c r="H6" s="6"/>
    </row>
    <row r="7" spans="2:8" ht="20" customHeight="1" x14ac:dyDescent="0.2">
      <c r="B7" s="4" t="s">
        <v>11</v>
      </c>
      <c r="C7" s="5">
        <v>3</v>
      </c>
      <c r="D7" s="5">
        <v>3</v>
      </c>
      <c r="E7" s="5">
        <v>2</v>
      </c>
      <c r="F7" s="5">
        <v>4</v>
      </c>
      <c r="G7" s="5">
        <f t="shared" si="0"/>
        <v>24</v>
      </c>
      <c r="H7" s="5"/>
    </row>
    <row r="8" spans="2:8" ht="20" customHeight="1" x14ac:dyDescent="0.2">
      <c r="B8" s="2" t="s">
        <v>12</v>
      </c>
      <c r="C8" s="6">
        <v>3</v>
      </c>
      <c r="D8" s="6">
        <v>3</v>
      </c>
      <c r="E8" s="6">
        <v>1</v>
      </c>
      <c r="F8" s="6">
        <v>4</v>
      </c>
      <c r="G8" s="6">
        <f t="shared" si="0"/>
        <v>12</v>
      </c>
      <c r="H8" s="6"/>
    </row>
    <row r="9" spans="2:8" ht="20" customHeight="1" x14ac:dyDescent="0.2">
      <c r="B9" s="4" t="s">
        <v>13</v>
      </c>
      <c r="C9" s="5">
        <v>5</v>
      </c>
      <c r="D9" s="5">
        <v>3</v>
      </c>
      <c r="E9" s="5">
        <v>2</v>
      </c>
      <c r="F9" s="5">
        <v>4</v>
      </c>
      <c r="G9" s="5">
        <f t="shared" si="0"/>
        <v>24</v>
      </c>
      <c r="H9" s="5"/>
    </row>
    <row r="10" spans="2:8" ht="20" customHeight="1" x14ac:dyDescent="0.2">
      <c r="B10" s="2" t="s">
        <v>14</v>
      </c>
      <c r="C10" s="6">
        <v>3</v>
      </c>
      <c r="D10" s="6">
        <v>3</v>
      </c>
      <c r="E10" s="6">
        <v>2</v>
      </c>
      <c r="F10" s="6">
        <v>4</v>
      </c>
      <c r="G10" s="6">
        <f t="shared" si="0"/>
        <v>24</v>
      </c>
      <c r="H10" s="6"/>
    </row>
    <row r="11" spans="2:8" ht="20" customHeight="1" x14ac:dyDescent="0.2">
      <c r="B11" s="4" t="s">
        <v>15</v>
      </c>
      <c r="C11" s="5">
        <v>3</v>
      </c>
      <c r="D11" s="5">
        <v>3</v>
      </c>
      <c r="E11" s="5">
        <v>1</v>
      </c>
      <c r="F11" s="5">
        <v>4</v>
      </c>
      <c r="G11" s="5">
        <f t="shared" si="0"/>
        <v>12</v>
      </c>
      <c r="H11" s="5"/>
    </row>
    <row r="12" spans="2:8" ht="15.75" customHeight="1" x14ac:dyDescent="0.2"/>
    <row r="13" spans="2:8" ht="22" customHeight="1" x14ac:dyDescent="0.2">
      <c r="B13" s="1" t="s">
        <v>16</v>
      </c>
      <c r="C13" s="1"/>
      <c r="D13" s="1"/>
      <c r="E13" s="1"/>
      <c r="F13" s="1"/>
      <c r="G13" s="1"/>
      <c r="H13" s="1"/>
    </row>
    <row r="14" spans="2:8" ht="18" customHeight="1" x14ac:dyDescent="0.2">
      <c r="B14" s="2" t="s">
        <v>1</v>
      </c>
      <c r="C14" s="2">
        <v>2</v>
      </c>
      <c r="D14" s="2" t="str">
        <f>IF(C14&gt;4,"No viable","Viable")</f>
        <v>Viable</v>
      </c>
      <c r="E14" s="2" t="str">
        <f>CONCATENATE("Las semanas destinadas son: "&amp;C14)</f>
        <v>Las semanas destinadas son: 2</v>
      </c>
      <c r="F14" s="2"/>
      <c r="G14" s="2"/>
      <c r="H14" s="2"/>
    </row>
    <row r="15" spans="2:8" ht="30" customHeight="1" x14ac:dyDescent="0.2">
      <c r="B15" s="3" t="s">
        <v>2</v>
      </c>
      <c r="C15" s="3" t="s">
        <v>3</v>
      </c>
      <c r="D15" s="3" t="s">
        <v>4</v>
      </c>
      <c r="E15" s="3" t="s">
        <v>5</v>
      </c>
      <c r="F15" s="3" t="s">
        <v>6</v>
      </c>
      <c r="G15" s="3" t="s">
        <v>7</v>
      </c>
      <c r="H15" s="3" t="s">
        <v>8</v>
      </c>
    </row>
    <row r="16" spans="2:8" ht="20" customHeight="1" x14ac:dyDescent="0.2">
      <c r="B16" s="4" t="s">
        <v>17</v>
      </c>
      <c r="C16" s="5">
        <v>3</v>
      </c>
      <c r="D16" s="5">
        <v>3</v>
      </c>
      <c r="E16" s="5">
        <v>1</v>
      </c>
      <c r="F16" s="5">
        <v>4</v>
      </c>
      <c r="G16" s="5">
        <f t="shared" ref="G16:G22" si="1">D16*E16*F16</f>
        <v>12</v>
      </c>
      <c r="H16" s="5">
        <f>SUM(C16:C22)</f>
        <v>30</v>
      </c>
    </row>
    <row r="17" spans="2:8" ht="20" customHeight="1" x14ac:dyDescent="0.2">
      <c r="B17" s="2" t="s">
        <v>18</v>
      </c>
      <c r="C17" s="6">
        <v>5</v>
      </c>
      <c r="D17" s="6">
        <v>3</v>
      </c>
      <c r="E17" s="6">
        <v>3</v>
      </c>
      <c r="F17" s="6">
        <v>4</v>
      </c>
      <c r="G17" s="6">
        <f t="shared" si="1"/>
        <v>36</v>
      </c>
      <c r="H17" s="6"/>
    </row>
    <row r="18" spans="2:8" ht="20" customHeight="1" x14ac:dyDescent="0.2">
      <c r="B18" s="4" t="s">
        <v>19</v>
      </c>
      <c r="C18" s="5">
        <v>3</v>
      </c>
      <c r="D18" s="5">
        <v>3</v>
      </c>
      <c r="E18" s="5">
        <v>2</v>
      </c>
      <c r="F18" s="5">
        <v>4</v>
      </c>
      <c r="G18" s="5">
        <f t="shared" si="1"/>
        <v>24</v>
      </c>
      <c r="H18" s="5"/>
    </row>
    <row r="19" spans="2:8" ht="20" customHeight="1" x14ac:dyDescent="0.2">
      <c r="B19" s="2" t="s">
        <v>20</v>
      </c>
      <c r="C19" s="6">
        <v>5</v>
      </c>
      <c r="D19" s="6">
        <v>3</v>
      </c>
      <c r="E19" s="6">
        <v>2</v>
      </c>
      <c r="F19" s="6">
        <v>4</v>
      </c>
      <c r="G19" s="6">
        <f t="shared" si="1"/>
        <v>24</v>
      </c>
      <c r="H19" s="6"/>
    </row>
    <row r="20" spans="2:8" ht="20" customHeight="1" x14ac:dyDescent="0.2">
      <c r="B20" s="4" t="s">
        <v>21</v>
      </c>
      <c r="C20" s="5">
        <v>3</v>
      </c>
      <c r="D20" s="5">
        <v>3</v>
      </c>
      <c r="E20" s="5">
        <v>1</v>
      </c>
      <c r="F20" s="5">
        <v>4</v>
      </c>
      <c r="G20" s="5">
        <f t="shared" si="1"/>
        <v>12</v>
      </c>
      <c r="H20" s="5"/>
    </row>
    <row r="21" spans="2:8" ht="20" customHeight="1" x14ac:dyDescent="0.2">
      <c r="B21" s="2" t="s">
        <v>22</v>
      </c>
      <c r="C21" s="6">
        <v>8</v>
      </c>
      <c r="D21" s="6">
        <v>3</v>
      </c>
      <c r="E21" s="6">
        <v>4</v>
      </c>
      <c r="F21" s="6">
        <v>4</v>
      </c>
      <c r="G21" s="6">
        <f t="shared" si="1"/>
        <v>48</v>
      </c>
      <c r="H21" s="6"/>
    </row>
    <row r="22" spans="2:8" ht="20" customHeight="1" x14ac:dyDescent="0.2">
      <c r="B22" s="4" t="s">
        <v>23</v>
      </c>
      <c r="C22" s="5">
        <v>3</v>
      </c>
      <c r="D22" s="5">
        <v>3</v>
      </c>
      <c r="E22" s="5">
        <v>2</v>
      </c>
      <c r="F22" s="5">
        <v>4</v>
      </c>
      <c r="G22" s="5">
        <f t="shared" si="1"/>
        <v>24</v>
      </c>
      <c r="H22" s="5"/>
    </row>
    <row r="23" spans="2:8" ht="15.75" customHeight="1" x14ac:dyDescent="0.2"/>
    <row r="24" spans="2:8" ht="22" customHeight="1" x14ac:dyDescent="0.2">
      <c r="B24" s="1" t="s">
        <v>24</v>
      </c>
      <c r="C24" s="1"/>
      <c r="D24" s="1"/>
      <c r="E24" s="1"/>
      <c r="F24" s="1"/>
      <c r="G24" s="1"/>
      <c r="H24" s="1"/>
    </row>
    <row r="25" spans="2:8" ht="18" customHeight="1" x14ac:dyDescent="0.2">
      <c r="B25" s="2" t="s">
        <v>1</v>
      </c>
      <c r="C25" s="2">
        <v>2</v>
      </c>
      <c r="D25" s="2" t="str">
        <f>IF(C25&gt;4,"No viable","Viable")</f>
        <v>Viable</v>
      </c>
      <c r="E25" s="2" t="str">
        <f>CONCATENATE("Las semanas destinadas son: "&amp;C25)</f>
        <v>Las semanas destinadas son: 2</v>
      </c>
      <c r="F25" s="2"/>
      <c r="G25" s="2"/>
      <c r="H25" s="2"/>
    </row>
    <row r="26" spans="2:8" ht="30" customHeight="1" x14ac:dyDescent="0.2">
      <c r="B26" s="3" t="s">
        <v>2</v>
      </c>
      <c r="C26" s="3" t="s">
        <v>3</v>
      </c>
      <c r="D26" s="3"/>
      <c r="E26" s="3"/>
      <c r="F26" s="3"/>
      <c r="G26" s="3"/>
      <c r="H26" s="3" t="s">
        <v>8</v>
      </c>
    </row>
    <row r="27" spans="2:8" ht="20" customHeight="1" x14ac:dyDescent="0.2">
      <c r="B27" s="4" t="s">
        <v>25</v>
      </c>
      <c r="C27" s="5">
        <v>8</v>
      </c>
      <c r="D27" s="5">
        <v>3</v>
      </c>
      <c r="E27" s="5">
        <v>4</v>
      </c>
      <c r="F27" s="5">
        <v>4</v>
      </c>
      <c r="G27" s="5">
        <f t="shared" ref="G27:G33" si="2">D27*E27*F27</f>
        <v>48</v>
      </c>
      <c r="H27" s="5">
        <f>SUM(C27:C33)</f>
        <v>37</v>
      </c>
    </row>
    <row r="28" spans="2:8" ht="20" customHeight="1" x14ac:dyDescent="0.2">
      <c r="B28" s="2" t="s">
        <v>26</v>
      </c>
      <c r="C28" s="6">
        <v>3</v>
      </c>
      <c r="D28" s="6">
        <v>3</v>
      </c>
      <c r="E28" s="6">
        <v>1</v>
      </c>
      <c r="F28" s="6">
        <v>4</v>
      </c>
      <c r="G28" s="6">
        <f t="shared" si="2"/>
        <v>12</v>
      </c>
      <c r="H28" s="6"/>
    </row>
    <row r="29" spans="2:8" ht="20" customHeight="1" x14ac:dyDescent="0.2">
      <c r="B29" s="4" t="s">
        <v>27</v>
      </c>
      <c r="C29" s="5">
        <v>5</v>
      </c>
      <c r="D29" s="5">
        <v>3</v>
      </c>
      <c r="E29" s="5">
        <v>3</v>
      </c>
      <c r="F29" s="5">
        <v>4</v>
      </c>
      <c r="G29" s="5">
        <f t="shared" si="2"/>
        <v>36</v>
      </c>
      <c r="H29" s="5"/>
    </row>
    <row r="30" spans="2:8" ht="20" customHeight="1" x14ac:dyDescent="0.2">
      <c r="B30" s="2" t="s">
        <v>28</v>
      </c>
      <c r="C30" s="6">
        <v>5</v>
      </c>
      <c r="D30" s="6">
        <v>3</v>
      </c>
      <c r="E30" s="6">
        <v>3</v>
      </c>
      <c r="F30" s="6">
        <v>4</v>
      </c>
      <c r="G30" s="6">
        <f t="shared" si="2"/>
        <v>36</v>
      </c>
      <c r="H30" s="6"/>
    </row>
    <row r="31" spans="2:8" ht="20" customHeight="1" x14ac:dyDescent="0.2">
      <c r="B31" s="4" t="s">
        <v>29</v>
      </c>
      <c r="C31" s="5">
        <v>8</v>
      </c>
      <c r="D31" s="5">
        <v>3</v>
      </c>
      <c r="E31" s="5">
        <v>4</v>
      </c>
      <c r="F31" s="5">
        <v>4</v>
      </c>
      <c r="G31" s="5">
        <f t="shared" si="2"/>
        <v>48</v>
      </c>
      <c r="H31" s="5"/>
    </row>
    <row r="32" spans="2:8" ht="20" customHeight="1" x14ac:dyDescent="0.2">
      <c r="B32" s="2" t="s">
        <v>30</v>
      </c>
      <c r="C32" s="6">
        <v>3</v>
      </c>
      <c r="D32" s="6">
        <v>3</v>
      </c>
      <c r="E32" s="6">
        <v>1</v>
      </c>
      <c r="F32" s="6">
        <v>4</v>
      </c>
      <c r="G32" s="6">
        <f t="shared" si="2"/>
        <v>12</v>
      </c>
      <c r="H32" s="6"/>
    </row>
    <row r="33" spans="2:8" ht="20" customHeight="1" x14ac:dyDescent="0.2">
      <c r="B33" s="4" t="s">
        <v>31</v>
      </c>
      <c r="C33" s="5">
        <v>5</v>
      </c>
      <c r="D33" s="5">
        <v>3</v>
      </c>
      <c r="E33" s="5">
        <v>3</v>
      </c>
      <c r="F33" s="5">
        <v>4</v>
      </c>
      <c r="G33" s="5">
        <f t="shared" si="2"/>
        <v>36</v>
      </c>
      <c r="H33" s="5"/>
    </row>
    <row r="34" spans="2:8" ht="15.75" customHeight="1" x14ac:dyDescent="0.2"/>
    <row r="35" spans="2:8" ht="22" customHeight="1" x14ac:dyDescent="0.2">
      <c r="B35" s="1" t="s">
        <v>32</v>
      </c>
      <c r="C35" s="1"/>
      <c r="D35" s="1"/>
      <c r="E35" s="1"/>
      <c r="F35" s="1"/>
      <c r="G35" s="1"/>
      <c r="H35" s="1"/>
    </row>
    <row r="36" spans="2:8" ht="18" customHeight="1" x14ac:dyDescent="0.2">
      <c r="B36" s="2" t="s">
        <v>1</v>
      </c>
      <c r="C36" s="2">
        <v>2</v>
      </c>
      <c r="D36" s="2" t="str">
        <f>IF(C36&gt;4,"No viable","Viable")</f>
        <v>Viable</v>
      </c>
      <c r="E36" s="2" t="str">
        <f>CONCATENATE("Las semanas destinadas son: "&amp;C36)</f>
        <v>Las semanas destinadas son: 2</v>
      </c>
      <c r="F36" s="2"/>
      <c r="G36" s="2"/>
      <c r="H36" s="2"/>
    </row>
    <row r="37" spans="2:8" ht="30" customHeight="1" x14ac:dyDescent="0.2">
      <c r="B37" s="3" t="s">
        <v>2</v>
      </c>
      <c r="C37" s="3" t="s">
        <v>3</v>
      </c>
      <c r="D37" s="3" t="s">
        <v>4</v>
      </c>
      <c r="E37" s="3" t="s">
        <v>5</v>
      </c>
      <c r="F37" s="3" t="s">
        <v>6</v>
      </c>
      <c r="G37" s="3" t="s">
        <v>7</v>
      </c>
      <c r="H37" s="3" t="s">
        <v>8</v>
      </c>
    </row>
    <row r="38" spans="2:8" ht="20" customHeight="1" x14ac:dyDescent="0.2">
      <c r="B38" s="4" t="s">
        <v>33</v>
      </c>
      <c r="C38" s="5">
        <v>3</v>
      </c>
      <c r="D38" s="5">
        <v>3</v>
      </c>
      <c r="E38" s="5">
        <v>2</v>
      </c>
      <c r="F38" s="5">
        <v>4</v>
      </c>
      <c r="G38" s="5">
        <f t="shared" ref="G38:G44" si="3">D38*E38*F38</f>
        <v>24</v>
      </c>
      <c r="H38" s="5">
        <f>SUM(C38:C44)</f>
        <v>28</v>
      </c>
    </row>
    <row r="39" spans="2:8" ht="20" customHeight="1" x14ac:dyDescent="0.2">
      <c r="B39" s="2" t="s">
        <v>34</v>
      </c>
      <c r="C39" s="6">
        <v>2</v>
      </c>
      <c r="D39" s="6">
        <v>3</v>
      </c>
      <c r="E39" s="6">
        <v>1</v>
      </c>
      <c r="F39" s="6">
        <v>4</v>
      </c>
      <c r="G39" s="6">
        <f t="shared" si="3"/>
        <v>12</v>
      </c>
      <c r="H39" s="6"/>
    </row>
    <row r="40" spans="2:8" ht="20" customHeight="1" x14ac:dyDescent="0.2">
      <c r="B40" s="4" t="s">
        <v>35</v>
      </c>
      <c r="C40" s="5">
        <v>2</v>
      </c>
      <c r="D40" s="5">
        <v>3</v>
      </c>
      <c r="E40" s="5">
        <v>1</v>
      </c>
      <c r="F40" s="5">
        <v>4</v>
      </c>
      <c r="G40" s="5">
        <f t="shared" si="3"/>
        <v>12</v>
      </c>
      <c r="H40" s="5"/>
    </row>
    <row r="41" spans="2:8" ht="20" customHeight="1" x14ac:dyDescent="0.2">
      <c r="B41" s="2" t="s">
        <v>36</v>
      </c>
      <c r="C41" s="6">
        <v>5</v>
      </c>
      <c r="D41" s="6">
        <v>3</v>
      </c>
      <c r="E41" s="6">
        <v>3</v>
      </c>
      <c r="F41" s="6">
        <v>4</v>
      </c>
      <c r="G41" s="6">
        <f t="shared" si="3"/>
        <v>36</v>
      </c>
      <c r="H41" s="6"/>
    </row>
    <row r="42" spans="2:8" ht="20" customHeight="1" x14ac:dyDescent="0.2">
      <c r="B42" s="4" t="s">
        <v>37</v>
      </c>
      <c r="C42" s="5">
        <v>8</v>
      </c>
      <c r="D42" s="5">
        <v>3</v>
      </c>
      <c r="E42" s="5">
        <v>4</v>
      </c>
      <c r="F42" s="5">
        <v>4</v>
      </c>
      <c r="G42" s="5">
        <f t="shared" si="3"/>
        <v>48</v>
      </c>
      <c r="H42" s="5"/>
    </row>
    <row r="43" spans="2:8" ht="20" customHeight="1" x14ac:dyDescent="0.2">
      <c r="B43" s="2" t="s">
        <v>38</v>
      </c>
      <c r="C43" s="6">
        <v>5</v>
      </c>
      <c r="D43" s="6">
        <v>3</v>
      </c>
      <c r="E43" s="6">
        <v>2</v>
      </c>
      <c r="F43" s="6">
        <v>4</v>
      </c>
      <c r="G43" s="6">
        <f t="shared" si="3"/>
        <v>24</v>
      </c>
      <c r="H43" s="6"/>
    </row>
    <row r="44" spans="2:8" ht="20" customHeight="1" x14ac:dyDescent="0.2">
      <c r="B44" s="4" t="s">
        <v>39</v>
      </c>
      <c r="C44" s="5">
        <v>3</v>
      </c>
      <c r="D44" s="5">
        <v>3</v>
      </c>
      <c r="E44" s="5">
        <v>1</v>
      </c>
      <c r="F44" s="5">
        <v>4</v>
      </c>
      <c r="G44" s="5">
        <f t="shared" si="3"/>
        <v>12</v>
      </c>
      <c r="H44" s="5"/>
    </row>
    <row r="45" spans="2:8" ht="15.75" customHeight="1" x14ac:dyDescent="0.2"/>
    <row r="46" spans="2:8" ht="15.75" customHeight="1" x14ac:dyDescent="0.2"/>
    <row r="47" spans="2:8" ht="15.75" customHeight="1" x14ac:dyDescent="0.2"/>
    <row r="48" spans="2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dataValidations count="1">
    <dataValidation type="decimal" operator="lessThanOrEqual" allowBlank="1" showDropDown="1" showErrorMessage="1" sqref="C3 C11 C19 C27" xr:uid="{00000000-0002-0000-0000-000000000000}">
      <formula1>4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Camilo's PC</dc:creator>
  <cp:lastModifiedBy>David Alejo</cp:lastModifiedBy>
  <dcterms:created xsi:type="dcterms:W3CDTF">2026-05-04T16:39:58Z</dcterms:created>
  <dcterms:modified xsi:type="dcterms:W3CDTF">2026-06-25T02:23:19Z</dcterms:modified>
</cp:coreProperties>
</file>